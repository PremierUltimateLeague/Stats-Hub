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C" sheetId="1" r:id="rId5"/>
    <sheet state="visible" name="RAL" sheetId="2" r:id="rId6"/>
    <sheet state="visible" name="Points" sheetId="3" r:id="rId7"/>
    <sheet state="visible" name="Game summary" sheetId="4" r:id="rId8"/>
  </sheets>
  <definedNames/>
  <calcPr/>
</workbook>
</file>

<file path=xl/sharedStrings.xml><?xml version="1.0" encoding="utf-8"?>
<sst xmlns="http://schemas.openxmlformats.org/spreadsheetml/2006/main" count="188" uniqueCount="107">
  <si>
    <t>Jersey #</t>
  </si>
  <si>
    <t>Full Name</t>
  </si>
  <si>
    <t>Goals</t>
  </si>
  <si>
    <t>Assists</t>
  </si>
  <si>
    <t>Blocks</t>
  </si>
  <si>
    <t>Turnovers</t>
  </si>
  <si>
    <t>Points played</t>
  </si>
  <si>
    <t>Goals-Semis</t>
  </si>
  <si>
    <t>Assists-Semis</t>
  </si>
  <si>
    <t>Blocks-Semis</t>
  </si>
  <si>
    <t>Turnovers-Semis</t>
  </si>
  <si>
    <t>Points played-Semis</t>
  </si>
  <si>
    <t>Goals-Total</t>
  </si>
  <si>
    <t>Assists-Total</t>
  </si>
  <si>
    <t>Blocks-Total</t>
  </si>
  <si>
    <t>Turnovers-Total</t>
  </si>
  <si>
    <t>Points played-Total</t>
  </si>
  <si>
    <t>GABT</t>
  </si>
  <si>
    <t>Sami Smalling</t>
  </si>
  <si>
    <t>Kira Flores</t>
  </si>
  <si>
    <t>Marika Korpinen</t>
  </si>
  <si>
    <t>Tyler Smith</t>
  </si>
  <si>
    <t>Allie Wallace</t>
  </si>
  <si>
    <t>Lisi Lohre</t>
  </si>
  <si>
    <t>Clare Frantz</t>
  </si>
  <si>
    <t>Ellen Mueller</t>
  </si>
  <si>
    <t>Marge Walker</t>
  </si>
  <si>
    <t>Jordan Sorensen</t>
  </si>
  <si>
    <t>Tayara Romero Peña</t>
  </si>
  <si>
    <t>Julia Harris</t>
  </si>
  <si>
    <t>Lisa Dang</t>
  </si>
  <si>
    <t>Jess Sourbeer</t>
  </si>
  <si>
    <t>1</t>
  </si>
  <si>
    <t>Ashleigh Jentilet</t>
  </si>
  <si>
    <t>Kat Ritzmann</t>
  </si>
  <si>
    <t>Annelise Peters</t>
  </si>
  <si>
    <t>Jackie Wang</t>
  </si>
  <si>
    <t>Jess Oh</t>
  </si>
  <si>
    <t>Amanda Murphy</t>
  </si>
  <si>
    <t>Emily Kiver</t>
  </si>
  <si>
    <t>Sydney Rehder</t>
  </si>
  <si>
    <t>Maggie Pendleton</t>
  </si>
  <si>
    <t>2</t>
  </si>
  <si>
    <t>Claire Bidigare-Curtis</t>
  </si>
  <si>
    <t>Lyra Olson</t>
  </si>
  <si>
    <t>Jenny Wei</t>
  </si>
  <si>
    <t>Jinny Riedel</t>
  </si>
  <si>
    <t>Katie Backus Meilstrup</t>
  </si>
  <si>
    <t>Ellen Yu</t>
  </si>
  <si>
    <t>Carmen Tormey</t>
  </si>
  <si>
    <t>Karen Ehrhardt</t>
  </si>
  <si>
    <t>Sarah McKee</t>
  </si>
  <si>
    <t>Sydney Kelley</t>
  </si>
  <si>
    <t>Julia Hoffmann</t>
  </si>
  <si>
    <t>Julia Zwierzynski</t>
  </si>
  <si>
    <t>Hannah Boettcher</t>
  </si>
  <si>
    <t>Meg Manning</t>
  </si>
  <si>
    <t>Mary Rippe</t>
  </si>
  <si>
    <t>Claire Revere</t>
  </si>
  <si>
    <t>Annie Bocko</t>
  </si>
  <si>
    <t>Alex Barnett</t>
  </si>
  <si>
    <t>Claire Hackl</t>
  </si>
  <si>
    <t>Caitlin Gross</t>
  </si>
  <si>
    <t>Natalie Baumgarten</t>
  </si>
  <si>
    <t>Audrey Lyman</t>
  </si>
  <si>
    <t>Maddie Pletzke</t>
  </si>
  <si>
    <t>Point</t>
  </si>
  <si>
    <t>Pulling team</t>
  </si>
  <si>
    <t>Scoring team</t>
  </si>
  <si>
    <t>Clean?</t>
  </si>
  <si>
    <t>RAL</t>
  </si>
  <si>
    <t>DC</t>
  </si>
  <si>
    <t>3</t>
  </si>
  <si>
    <t>4</t>
  </si>
  <si>
    <t>6</t>
  </si>
  <si>
    <t>7</t>
  </si>
  <si>
    <t>8</t>
  </si>
  <si>
    <t>10</t>
  </si>
  <si>
    <t>11</t>
  </si>
  <si>
    <t>13</t>
  </si>
  <si>
    <t>14</t>
  </si>
  <si>
    <t>15</t>
  </si>
  <si>
    <t>17</t>
  </si>
  <si>
    <t>18</t>
  </si>
  <si>
    <t>19</t>
  </si>
  <si>
    <t>21</t>
  </si>
  <si>
    <t>23</t>
  </si>
  <si>
    <t>24</t>
  </si>
  <si>
    <t>26</t>
  </si>
  <si>
    <t>27</t>
  </si>
  <si>
    <t>28</t>
  </si>
  <si>
    <t>30</t>
  </si>
  <si>
    <t>31</t>
  </si>
  <si>
    <t>32</t>
  </si>
  <si>
    <t>34</t>
  </si>
  <si>
    <t>35</t>
  </si>
  <si>
    <t>37</t>
  </si>
  <si>
    <t>40</t>
  </si>
  <si>
    <t>43</t>
  </si>
  <si>
    <t>45</t>
  </si>
  <si>
    <t>47</t>
  </si>
  <si>
    <t>49</t>
  </si>
  <si>
    <t>Team</t>
  </si>
  <si>
    <t>Points</t>
  </si>
  <si>
    <t>Holds</t>
  </si>
  <si>
    <t>Breaks</t>
  </si>
  <si>
    <t>Clean holds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</si>
</sst>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 readingOrder="0" shrinkToFit="0" wrapText="1"/>
    </xf>
    <xf borderId="1" fillId="2" fontId="1" numFmtId="0" xfId="0" applyAlignment="1" applyBorder="1" applyFont="1">
      <alignment horizontal="center" readingOrder="0" shrinkToFit="0" vertical="bottom" wrapText="1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right" vertical="bottom"/>
    </xf>
    <xf borderId="0" fillId="0" fontId="2" numFmtId="0" xfId="0" applyFont="1"/>
    <xf borderId="1" fillId="0" fontId="3" numFmtId="49" xfId="0" applyAlignment="1" applyBorder="1" applyFont="1" applyNumberFormat="1">
      <alignment horizontal="center" readingOrder="0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horizontal="left" shrinkToFit="0" vertical="bottom" wrapText="1"/>
    </xf>
    <xf borderId="1" fillId="0" fontId="3" numFmtId="0" xfId="0" applyAlignment="1" applyBorder="1" applyFont="1">
      <alignment horizontal="left" readingOrder="0" shrinkToFit="0" vertical="bottom" wrapText="1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left" shrinkToFit="0" vertical="bottom" wrapText="1"/>
    </xf>
    <xf borderId="1" fillId="0" fontId="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  <col customWidth="1" min="16" max="16" width="15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</row>
    <row r="2">
      <c r="A2" s="5">
        <v>3.0</v>
      </c>
      <c r="B2" s="6" t="s">
        <v>18</v>
      </c>
      <c r="C2" s="7">
        <v>0.0</v>
      </c>
      <c r="D2" s="7">
        <v>3.0</v>
      </c>
      <c r="E2" s="7">
        <v>1.0</v>
      </c>
      <c r="F2" s="7">
        <v>3.0</v>
      </c>
      <c r="G2" s="7">
        <v>22.0</v>
      </c>
      <c r="H2" s="8">
        <v>3.0</v>
      </c>
      <c r="I2" s="8">
        <v>5.0</v>
      </c>
      <c r="J2" s="8">
        <v>1.0</v>
      </c>
      <c r="K2" s="8">
        <v>1.0</v>
      </c>
      <c r="L2" s="8">
        <v>12.0</v>
      </c>
      <c r="M2" s="9">
        <f t="shared" ref="M2:Q2" si="1">C2+H2</f>
        <v>3</v>
      </c>
      <c r="N2" s="9">
        <f t="shared" si="1"/>
        <v>8</v>
      </c>
      <c r="O2" s="9">
        <f t="shared" si="1"/>
        <v>2</v>
      </c>
      <c r="P2" s="9">
        <f t="shared" si="1"/>
        <v>4</v>
      </c>
      <c r="Q2" s="9">
        <f t="shared" si="1"/>
        <v>34</v>
      </c>
      <c r="R2" s="9">
        <f t="shared" ref="R2:R24" si="3">M2+N2+2*O2-P2*0.5</f>
        <v>13</v>
      </c>
    </row>
    <row r="3">
      <c r="A3" s="5">
        <v>20.0</v>
      </c>
      <c r="B3" s="6" t="s">
        <v>19</v>
      </c>
      <c r="C3" s="7">
        <v>1.0</v>
      </c>
      <c r="D3" s="7">
        <v>3.0</v>
      </c>
      <c r="E3" s="7">
        <v>0.0</v>
      </c>
      <c r="F3" s="7">
        <v>0.0</v>
      </c>
      <c r="G3" s="7">
        <v>24.0</v>
      </c>
      <c r="H3" s="8">
        <v>3.0</v>
      </c>
      <c r="I3" s="8">
        <v>2.0</v>
      </c>
      <c r="J3" s="8">
        <v>0.0</v>
      </c>
      <c r="K3" s="8">
        <v>4.0</v>
      </c>
      <c r="L3" s="8">
        <v>13.0</v>
      </c>
      <c r="M3" s="9">
        <f t="shared" ref="M3:Q3" si="2">C3+H3</f>
        <v>4</v>
      </c>
      <c r="N3" s="9">
        <f t="shared" si="2"/>
        <v>5</v>
      </c>
      <c r="O3" s="9">
        <f t="shared" si="2"/>
        <v>0</v>
      </c>
      <c r="P3" s="9">
        <f t="shared" si="2"/>
        <v>4</v>
      </c>
      <c r="Q3" s="9">
        <f t="shared" si="2"/>
        <v>37</v>
      </c>
      <c r="R3" s="9">
        <f t="shared" si="3"/>
        <v>7</v>
      </c>
    </row>
    <row r="4">
      <c r="A4" s="5">
        <v>77.0</v>
      </c>
      <c r="B4" s="6" t="s">
        <v>20</v>
      </c>
      <c r="C4" s="7">
        <v>1.0</v>
      </c>
      <c r="D4" s="7">
        <v>0.0</v>
      </c>
      <c r="E4" s="7">
        <v>2.0</v>
      </c>
      <c r="F4" s="7">
        <v>0.0</v>
      </c>
      <c r="G4" s="7">
        <v>7.0</v>
      </c>
      <c r="H4" s="8">
        <v>2.0</v>
      </c>
      <c r="I4" s="8">
        <v>0.0</v>
      </c>
      <c r="J4" s="8">
        <v>0.0</v>
      </c>
      <c r="K4" s="8">
        <v>0.0</v>
      </c>
      <c r="L4" s="8">
        <v>10.0</v>
      </c>
      <c r="M4" s="9">
        <f t="shared" ref="M4:Q4" si="4">C4+H4</f>
        <v>3</v>
      </c>
      <c r="N4" s="9">
        <f t="shared" si="4"/>
        <v>0</v>
      </c>
      <c r="O4" s="9">
        <f t="shared" si="4"/>
        <v>2</v>
      </c>
      <c r="P4" s="9">
        <f t="shared" si="4"/>
        <v>0</v>
      </c>
      <c r="Q4" s="9">
        <f t="shared" si="4"/>
        <v>17</v>
      </c>
      <c r="R4" s="9">
        <f t="shared" si="3"/>
        <v>7</v>
      </c>
    </row>
    <row r="5">
      <c r="A5" s="5">
        <v>13.0</v>
      </c>
      <c r="B5" s="6" t="s">
        <v>21</v>
      </c>
      <c r="C5" s="7">
        <v>2.0</v>
      </c>
      <c r="D5" s="7">
        <v>3.0</v>
      </c>
      <c r="E5" s="7">
        <v>0.0</v>
      </c>
      <c r="F5" s="7">
        <v>3.0</v>
      </c>
      <c r="G5" s="7">
        <v>19.0</v>
      </c>
      <c r="H5" s="8">
        <v>1.0</v>
      </c>
      <c r="I5" s="8">
        <v>2.0</v>
      </c>
      <c r="J5" s="8">
        <v>0.0</v>
      </c>
      <c r="K5" s="8">
        <v>0.0</v>
      </c>
      <c r="L5" s="8">
        <v>14.0</v>
      </c>
      <c r="M5" s="9">
        <f t="shared" ref="M5:Q5" si="5">C5+H5</f>
        <v>3</v>
      </c>
      <c r="N5" s="9">
        <f t="shared" si="5"/>
        <v>5</v>
      </c>
      <c r="O5" s="9">
        <f t="shared" si="5"/>
        <v>0</v>
      </c>
      <c r="P5" s="9">
        <f t="shared" si="5"/>
        <v>3</v>
      </c>
      <c r="Q5" s="9">
        <f t="shared" si="5"/>
        <v>33</v>
      </c>
      <c r="R5" s="9">
        <f t="shared" si="3"/>
        <v>6.5</v>
      </c>
    </row>
    <row r="6">
      <c r="A6" s="5">
        <v>19.0</v>
      </c>
      <c r="B6" s="6" t="s">
        <v>22</v>
      </c>
      <c r="C6" s="7">
        <v>4.0</v>
      </c>
      <c r="D6" s="7">
        <v>0.0</v>
      </c>
      <c r="E6" s="7">
        <v>0.0</v>
      </c>
      <c r="F6" s="7">
        <v>1.0</v>
      </c>
      <c r="G6" s="7">
        <v>22.0</v>
      </c>
      <c r="H6" s="8">
        <v>2.0</v>
      </c>
      <c r="I6" s="8">
        <v>1.0</v>
      </c>
      <c r="J6" s="8">
        <v>0.0</v>
      </c>
      <c r="K6" s="8">
        <v>0.0</v>
      </c>
      <c r="L6" s="8">
        <v>14.0</v>
      </c>
      <c r="M6" s="9">
        <f t="shared" ref="M6:Q6" si="6">C6+H6</f>
        <v>6</v>
      </c>
      <c r="N6" s="9">
        <f t="shared" si="6"/>
        <v>1</v>
      </c>
      <c r="O6" s="9">
        <f t="shared" si="6"/>
        <v>0</v>
      </c>
      <c r="P6" s="9">
        <f t="shared" si="6"/>
        <v>1</v>
      </c>
      <c r="Q6" s="9">
        <f t="shared" si="6"/>
        <v>36</v>
      </c>
      <c r="R6" s="9">
        <f t="shared" si="3"/>
        <v>6.5</v>
      </c>
    </row>
    <row r="7">
      <c r="A7" s="5">
        <v>42.0</v>
      </c>
      <c r="B7" s="6" t="s">
        <v>23</v>
      </c>
      <c r="C7" s="7">
        <v>1.0</v>
      </c>
      <c r="D7" s="7">
        <v>0.0</v>
      </c>
      <c r="E7" s="7">
        <v>1.0</v>
      </c>
      <c r="F7" s="7">
        <v>0.0</v>
      </c>
      <c r="G7" s="7">
        <v>11.0</v>
      </c>
      <c r="H7" s="8">
        <v>3.0</v>
      </c>
      <c r="I7" s="8">
        <v>0.0</v>
      </c>
      <c r="J7" s="8">
        <v>0.0</v>
      </c>
      <c r="K7" s="8">
        <v>0.0</v>
      </c>
      <c r="L7" s="8">
        <v>12.0</v>
      </c>
      <c r="M7" s="9">
        <f t="shared" ref="M7:Q7" si="7">C7+H7</f>
        <v>4</v>
      </c>
      <c r="N7" s="9">
        <f t="shared" si="7"/>
        <v>0</v>
      </c>
      <c r="O7" s="9">
        <f t="shared" si="7"/>
        <v>1</v>
      </c>
      <c r="P7" s="9">
        <f t="shared" si="7"/>
        <v>0</v>
      </c>
      <c r="Q7" s="9">
        <f t="shared" si="7"/>
        <v>23</v>
      </c>
      <c r="R7" s="9">
        <f t="shared" si="3"/>
        <v>6</v>
      </c>
    </row>
    <row r="8">
      <c r="A8" s="5">
        <v>12.0</v>
      </c>
      <c r="B8" s="6" t="s">
        <v>24</v>
      </c>
      <c r="C8" s="7">
        <v>3.0</v>
      </c>
      <c r="D8" s="7">
        <v>1.0</v>
      </c>
      <c r="E8" s="7">
        <v>0.0</v>
      </c>
      <c r="F8" s="7">
        <v>1.0</v>
      </c>
      <c r="G8" s="7">
        <v>14.0</v>
      </c>
      <c r="H8" s="8">
        <v>1.0</v>
      </c>
      <c r="I8" s="8">
        <v>1.0</v>
      </c>
      <c r="J8" s="8">
        <v>0.0</v>
      </c>
      <c r="K8" s="8">
        <v>0.0</v>
      </c>
      <c r="L8" s="8">
        <v>12.0</v>
      </c>
      <c r="M8" s="9">
        <f t="shared" ref="M8:Q8" si="8">C8+H8</f>
        <v>4</v>
      </c>
      <c r="N8" s="9">
        <f t="shared" si="8"/>
        <v>2</v>
      </c>
      <c r="O8" s="9">
        <f t="shared" si="8"/>
        <v>0</v>
      </c>
      <c r="P8" s="9">
        <f t="shared" si="8"/>
        <v>1</v>
      </c>
      <c r="Q8" s="9">
        <f t="shared" si="8"/>
        <v>26</v>
      </c>
      <c r="R8" s="9">
        <f t="shared" si="3"/>
        <v>5.5</v>
      </c>
    </row>
    <row r="9">
      <c r="A9" s="5">
        <v>4.0</v>
      </c>
      <c r="B9" s="6" t="s">
        <v>25</v>
      </c>
      <c r="C9" s="7">
        <v>0.0</v>
      </c>
      <c r="D9" s="7">
        <v>0.0</v>
      </c>
      <c r="E9" s="7">
        <v>0.0</v>
      </c>
      <c r="F9" s="7">
        <v>0.0</v>
      </c>
      <c r="G9" s="7">
        <v>14.0</v>
      </c>
      <c r="H9" s="8">
        <v>1.0</v>
      </c>
      <c r="I9" s="8">
        <v>0.0</v>
      </c>
      <c r="J9" s="8">
        <v>2.0</v>
      </c>
      <c r="K9" s="8">
        <v>0.0</v>
      </c>
      <c r="L9" s="8">
        <v>10.0</v>
      </c>
      <c r="M9" s="9">
        <f t="shared" ref="M9:Q9" si="9">C9+H9</f>
        <v>1</v>
      </c>
      <c r="N9" s="9">
        <f t="shared" si="9"/>
        <v>0</v>
      </c>
      <c r="O9" s="9">
        <f t="shared" si="9"/>
        <v>2</v>
      </c>
      <c r="P9" s="9">
        <f t="shared" si="9"/>
        <v>0</v>
      </c>
      <c r="Q9" s="9">
        <f t="shared" si="9"/>
        <v>24</v>
      </c>
      <c r="R9" s="9">
        <f t="shared" si="3"/>
        <v>5</v>
      </c>
    </row>
    <row r="10">
      <c r="A10" s="5">
        <v>16.0</v>
      </c>
      <c r="B10" s="6" t="s">
        <v>26</v>
      </c>
      <c r="C10" s="7">
        <v>0.0</v>
      </c>
      <c r="D10" s="7">
        <v>2.0</v>
      </c>
      <c r="E10" s="7">
        <v>0.0</v>
      </c>
      <c r="F10" s="7">
        <v>0.0</v>
      </c>
      <c r="G10" s="7">
        <v>17.0</v>
      </c>
      <c r="H10" s="8">
        <v>1.0</v>
      </c>
      <c r="I10" s="8">
        <v>0.0</v>
      </c>
      <c r="J10" s="8">
        <v>1.0</v>
      </c>
      <c r="K10" s="8">
        <v>1.0</v>
      </c>
      <c r="L10" s="8">
        <v>13.0</v>
      </c>
      <c r="M10" s="9">
        <f t="shared" ref="M10:Q10" si="10">C10+H10</f>
        <v>1</v>
      </c>
      <c r="N10" s="9">
        <f t="shared" si="10"/>
        <v>2</v>
      </c>
      <c r="O10" s="9">
        <f t="shared" si="10"/>
        <v>1</v>
      </c>
      <c r="P10" s="9">
        <f t="shared" si="10"/>
        <v>1</v>
      </c>
      <c r="Q10" s="9">
        <f t="shared" si="10"/>
        <v>30</v>
      </c>
      <c r="R10" s="9">
        <f t="shared" si="3"/>
        <v>4.5</v>
      </c>
    </row>
    <row r="11">
      <c r="A11" s="5">
        <v>35.0</v>
      </c>
      <c r="B11" s="6" t="s">
        <v>27</v>
      </c>
      <c r="C11" s="7">
        <v>2.0</v>
      </c>
      <c r="D11" s="7">
        <v>0.0</v>
      </c>
      <c r="E11" s="7">
        <v>0.0</v>
      </c>
      <c r="F11" s="7">
        <v>0.0</v>
      </c>
      <c r="G11" s="7">
        <v>9.0</v>
      </c>
      <c r="H11" s="8">
        <v>1.0</v>
      </c>
      <c r="I11" s="8">
        <v>0.0</v>
      </c>
      <c r="J11" s="8">
        <v>1.0</v>
      </c>
      <c r="K11" s="8">
        <v>1.0</v>
      </c>
      <c r="L11" s="8">
        <v>12.0</v>
      </c>
      <c r="M11" s="9">
        <f t="shared" ref="M11:Q11" si="11">C11+H11</f>
        <v>3</v>
      </c>
      <c r="N11" s="9">
        <f t="shared" si="11"/>
        <v>0</v>
      </c>
      <c r="O11" s="9">
        <f t="shared" si="11"/>
        <v>1</v>
      </c>
      <c r="P11" s="9">
        <f t="shared" si="11"/>
        <v>1</v>
      </c>
      <c r="Q11" s="9">
        <f t="shared" si="11"/>
        <v>21</v>
      </c>
      <c r="R11" s="9">
        <f t="shared" si="3"/>
        <v>4.5</v>
      </c>
    </row>
    <row r="12">
      <c r="A12" s="5">
        <v>11.0</v>
      </c>
      <c r="B12" s="6" t="s">
        <v>28</v>
      </c>
      <c r="C12" s="7">
        <v>0.0</v>
      </c>
      <c r="D12" s="7">
        <v>0.0</v>
      </c>
      <c r="E12" s="7">
        <v>0.0</v>
      </c>
      <c r="F12" s="7">
        <v>0.0</v>
      </c>
      <c r="G12" s="7">
        <v>6.0</v>
      </c>
      <c r="H12" s="8">
        <v>0.0</v>
      </c>
      <c r="I12" s="8">
        <v>0.0</v>
      </c>
      <c r="J12" s="8">
        <v>2.0</v>
      </c>
      <c r="K12" s="8">
        <v>0.0</v>
      </c>
      <c r="L12" s="8">
        <v>10.0</v>
      </c>
      <c r="M12" s="9">
        <f t="shared" ref="M12:Q12" si="12">C12+H12</f>
        <v>0</v>
      </c>
      <c r="N12" s="9">
        <f t="shared" si="12"/>
        <v>0</v>
      </c>
      <c r="O12" s="9">
        <f t="shared" si="12"/>
        <v>2</v>
      </c>
      <c r="P12" s="9">
        <f t="shared" si="12"/>
        <v>0</v>
      </c>
      <c r="Q12" s="9">
        <f t="shared" si="12"/>
        <v>16</v>
      </c>
      <c r="R12" s="9">
        <f t="shared" si="3"/>
        <v>4</v>
      </c>
    </row>
    <row r="13">
      <c r="A13" s="5">
        <v>15.0</v>
      </c>
      <c r="B13" s="6" t="s">
        <v>29</v>
      </c>
      <c r="C13" s="7">
        <v>1.0</v>
      </c>
      <c r="D13" s="7">
        <v>1.0</v>
      </c>
      <c r="E13" s="7">
        <v>0.0</v>
      </c>
      <c r="F13" s="7">
        <v>0.0</v>
      </c>
      <c r="G13" s="7">
        <v>15.0</v>
      </c>
      <c r="H13" s="8">
        <v>1.0</v>
      </c>
      <c r="I13" s="8">
        <v>1.0</v>
      </c>
      <c r="J13" s="8">
        <v>0.0</v>
      </c>
      <c r="K13" s="8">
        <v>0.0</v>
      </c>
      <c r="L13" s="8">
        <v>10.0</v>
      </c>
      <c r="M13" s="9">
        <f t="shared" ref="M13:Q13" si="13">C13+H13</f>
        <v>2</v>
      </c>
      <c r="N13" s="9">
        <f t="shared" si="13"/>
        <v>2</v>
      </c>
      <c r="O13" s="9">
        <f t="shared" si="13"/>
        <v>0</v>
      </c>
      <c r="P13" s="9">
        <f t="shared" si="13"/>
        <v>0</v>
      </c>
      <c r="Q13" s="9">
        <f t="shared" si="13"/>
        <v>25</v>
      </c>
      <c r="R13" s="9">
        <f t="shared" si="3"/>
        <v>4</v>
      </c>
    </row>
    <row r="14">
      <c r="A14" s="5">
        <v>23.0</v>
      </c>
      <c r="B14" s="6" t="s">
        <v>30</v>
      </c>
      <c r="C14" s="7">
        <v>0.0</v>
      </c>
      <c r="D14" s="7">
        <v>0.0</v>
      </c>
      <c r="E14" s="7">
        <v>0.0</v>
      </c>
      <c r="F14" s="7">
        <v>1.0</v>
      </c>
      <c r="G14" s="7">
        <v>13.0</v>
      </c>
      <c r="H14" s="8">
        <v>0.0</v>
      </c>
      <c r="I14" s="8">
        <v>2.0</v>
      </c>
      <c r="J14" s="8">
        <v>1.0</v>
      </c>
      <c r="K14" s="8">
        <v>0.0</v>
      </c>
      <c r="L14" s="8">
        <v>11.0</v>
      </c>
      <c r="M14" s="9">
        <f t="shared" ref="M14:Q14" si="14">C14+H14</f>
        <v>0</v>
      </c>
      <c r="N14" s="9">
        <f t="shared" si="14"/>
        <v>2</v>
      </c>
      <c r="O14" s="9">
        <f t="shared" si="14"/>
        <v>1</v>
      </c>
      <c r="P14" s="9">
        <f t="shared" si="14"/>
        <v>1</v>
      </c>
      <c r="Q14" s="9">
        <f t="shared" si="14"/>
        <v>24</v>
      </c>
      <c r="R14" s="9">
        <f t="shared" si="3"/>
        <v>3.5</v>
      </c>
    </row>
    <row r="15">
      <c r="A15" s="5">
        <v>27.0</v>
      </c>
      <c r="B15" s="6" t="s">
        <v>31</v>
      </c>
      <c r="C15" s="7">
        <v>0.0</v>
      </c>
      <c r="D15" s="7">
        <v>0.0</v>
      </c>
      <c r="E15" s="7">
        <v>1.0</v>
      </c>
      <c r="F15" s="7">
        <v>2.0</v>
      </c>
      <c r="G15" s="7">
        <v>10.0</v>
      </c>
      <c r="H15" s="8">
        <v>1.0</v>
      </c>
      <c r="I15" s="8">
        <v>1.0</v>
      </c>
      <c r="J15" s="8">
        <v>0.0</v>
      </c>
      <c r="K15" s="8">
        <v>0.0</v>
      </c>
      <c r="L15" s="8">
        <v>10.0</v>
      </c>
      <c r="M15" s="9">
        <f t="shared" ref="M15:Q15" si="15">C15+H15</f>
        <v>1</v>
      </c>
      <c r="N15" s="9">
        <f t="shared" si="15"/>
        <v>1</v>
      </c>
      <c r="O15" s="9">
        <f t="shared" si="15"/>
        <v>1</v>
      </c>
      <c r="P15" s="9">
        <f t="shared" si="15"/>
        <v>2</v>
      </c>
      <c r="Q15" s="9">
        <f t="shared" si="15"/>
        <v>20</v>
      </c>
      <c r="R15" s="9">
        <f t="shared" si="3"/>
        <v>3</v>
      </c>
    </row>
    <row r="16">
      <c r="A16" s="10" t="s">
        <v>32</v>
      </c>
      <c r="B16" s="6" t="s">
        <v>33</v>
      </c>
      <c r="C16" s="7">
        <v>0.0</v>
      </c>
      <c r="D16" s="7">
        <v>1.0</v>
      </c>
      <c r="E16" s="7">
        <v>0.0</v>
      </c>
      <c r="F16" s="7">
        <v>1.0</v>
      </c>
      <c r="G16" s="7">
        <v>14.0</v>
      </c>
      <c r="H16" s="8">
        <v>0.0</v>
      </c>
      <c r="I16" s="8">
        <v>0.0</v>
      </c>
      <c r="J16" s="8">
        <v>1.0</v>
      </c>
      <c r="K16" s="8">
        <v>0.0</v>
      </c>
      <c r="L16" s="8">
        <v>4.0</v>
      </c>
      <c r="M16" s="9">
        <f t="shared" ref="M16:Q16" si="16">C16+H16</f>
        <v>0</v>
      </c>
      <c r="N16" s="9">
        <f t="shared" si="16"/>
        <v>1</v>
      </c>
      <c r="O16" s="9">
        <f t="shared" si="16"/>
        <v>1</v>
      </c>
      <c r="P16" s="9">
        <f t="shared" si="16"/>
        <v>1</v>
      </c>
      <c r="Q16" s="9">
        <f t="shared" si="16"/>
        <v>18</v>
      </c>
      <c r="R16" s="9">
        <f t="shared" si="3"/>
        <v>2.5</v>
      </c>
    </row>
    <row r="17">
      <c r="A17" s="5">
        <v>8.0</v>
      </c>
      <c r="B17" s="6" t="s">
        <v>34</v>
      </c>
      <c r="C17" s="7">
        <v>1.0</v>
      </c>
      <c r="D17" s="7">
        <v>2.0</v>
      </c>
      <c r="E17" s="7">
        <v>0.0</v>
      </c>
      <c r="F17" s="7">
        <v>2.0</v>
      </c>
      <c r="G17" s="7">
        <v>17.0</v>
      </c>
      <c r="H17" s="8">
        <v>1.0</v>
      </c>
      <c r="I17" s="8">
        <v>0.0</v>
      </c>
      <c r="J17" s="8">
        <v>0.0</v>
      </c>
      <c r="K17" s="8">
        <v>1.0</v>
      </c>
      <c r="L17" s="8">
        <v>11.0</v>
      </c>
      <c r="M17" s="9">
        <f t="shared" ref="M17:Q17" si="17">C17+H17</f>
        <v>2</v>
      </c>
      <c r="N17" s="9">
        <f t="shared" si="17"/>
        <v>2</v>
      </c>
      <c r="O17" s="9">
        <f t="shared" si="17"/>
        <v>0</v>
      </c>
      <c r="P17" s="9">
        <f t="shared" si="17"/>
        <v>3</v>
      </c>
      <c r="Q17" s="9">
        <f t="shared" si="17"/>
        <v>28</v>
      </c>
      <c r="R17" s="9">
        <f t="shared" si="3"/>
        <v>2.5</v>
      </c>
    </row>
    <row r="18">
      <c r="A18" s="5">
        <v>9.0</v>
      </c>
      <c r="B18" s="6" t="s">
        <v>35</v>
      </c>
      <c r="C18" s="7">
        <v>0.0</v>
      </c>
      <c r="D18" s="7">
        <v>0.0</v>
      </c>
      <c r="E18" s="7">
        <v>1.0</v>
      </c>
      <c r="F18" s="7">
        <v>1.0</v>
      </c>
      <c r="G18" s="7">
        <v>6.0</v>
      </c>
      <c r="H18" s="8">
        <v>0.0</v>
      </c>
      <c r="I18" s="8">
        <v>1.0</v>
      </c>
      <c r="J18" s="8">
        <v>0.0</v>
      </c>
      <c r="K18" s="8">
        <v>0.0</v>
      </c>
      <c r="L18" s="8">
        <v>8.0</v>
      </c>
      <c r="M18" s="9">
        <f t="shared" ref="M18:Q18" si="18">C18+H18</f>
        <v>0</v>
      </c>
      <c r="N18" s="9">
        <f t="shared" si="18"/>
        <v>1</v>
      </c>
      <c r="O18" s="9">
        <f t="shared" si="18"/>
        <v>1</v>
      </c>
      <c r="P18" s="9">
        <f t="shared" si="18"/>
        <v>1</v>
      </c>
      <c r="Q18" s="9">
        <f t="shared" si="18"/>
        <v>14</v>
      </c>
      <c r="R18" s="9">
        <f t="shared" si="3"/>
        <v>2.5</v>
      </c>
    </row>
    <row r="19">
      <c r="A19" s="5">
        <v>66.0</v>
      </c>
      <c r="B19" s="6" t="s">
        <v>36</v>
      </c>
      <c r="C19" s="7">
        <v>0.0</v>
      </c>
      <c r="D19" s="7">
        <v>0.0</v>
      </c>
      <c r="E19" s="7">
        <v>0.0</v>
      </c>
      <c r="F19" s="7">
        <v>1.0</v>
      </c>
      <c r="G19" s="7">
        <v>10.0</v>
      </c>
      <c r="H19" s="8">
        <v>1.0</v>
      </c>
      <c r="I19" s="8">
        <v>2.0</v>
      </c>
      <c r="J19" s="8">
        <v>0.0</v>
      </c>
      <c r="K19" s="8">
        <v>1.0</v>
      </c>
      <c r="L19" s="8">
        <v>13.0</v>
      </c>
      <c r="M19" s="9">
        <f t="shared" ref="M19:Q19" si="19">C19+H19</f>
        <v>1</v>
      </c>
      <c r="N19" s="9">
        <f t="shared" si="19"/>
        <v>2</v>
      </c>
      <c r="O19" s="9">
        <f t="shared" si="19"/>
        <v>0</v>
      </c>
      <c r="P19" s="9">
        <f t="shared" si="19"/>
        <v>2</v>
      </c>
      <c r="Q19" s="9">
        <f t="shared" si="19"/>
        <v>23</v>
      </c>
      <c r="R19" s="9">
        <f t="shared" si="3"/>
        <v>2</v>
      </c>
    </row>
    <row r="20">
      <c r="A20" s="5">
        <v>21.0</v>
      </c>
      <c r="B20" s="6" t="s">
        <v>37</v>
      </c>
      <c r="C20" s="7">
        <v>0.0</v>
      </c>
      <c r="D20" s="7">
        <v>1.0</v>
      </c>
      <c r="E20" s="7">
        <v>0.0</v>
      </c>
      <c r="F20" s="7">
        <v>1.0</v>
      </c>
      <c r="G20" s="7">
        <v>11.0</v>
      </c>
      <c r="H20" s="8">
        <v>0.0</v>
      </c>
      <c r="I20" s="8">
        <v>1.0</v>
      </c>
      <c r="J20" s="8">
        <v>0.0</v>
      </c>
      <c r="K20" s="8">
        <v>0.0</v>
      </c>
      <c r="L20" s="8">
        <v>12.0</v>
      </c>
      <c r="M20" s="9">
        <f t="shared" ref="M20:Q20" si="20">C20+H20</f>
        <v>0</v>
      </c>
      <c r="N20" s="9">
        <f t="shared" si="20"/>
        <v>2</v>
      </c>
      <c r="O20" s="9">
        <f t="shared" si="20"/>
        <v>0</v>
      </c>
      <c r="P20" s="9">
        <f t="shared" si="20"/>
        <v>1</v>
      </c>
      <c r="Q20" s="9">
        <f t="shared" si="20"/>
        <v>23</v>
      </c>
      <c r="R20" s="9">
        <f t="shared" si="3"/>
        <v>1.5</v>
      </c>
    </row>
    <row r="21">
      <c r="A21" s="5">
        <v>33.0</v>
      </c>
      <c r="B21" s="6" t="s">
        <v>38</v>
      </c>
      <c r="C21" s="7">
        <v>1.0</v>
      </c>
      <c r="D21" s="7">
        <v>0.0</v>
      </c>
      <c r="E21" s="7">
        <v>0.0</v>
      </c>
      <c r="F21" s="7">
        <v>0.0</v>
      </c>
      <c r="G21" s="7">
        <v>19.0</v>
      </c>
      <c r="H21" s="8">
        <v>0.0</v>
      </c>
      <c r="I21" s="8">
        <v>1.0</v>
      </c>
      <c r="J21" s="8">
        <v>0.0</v>
      </c>
      <c r="K21" s="8">
        <v>2.0</v>
      </c>
      <c r="L21" s="8">
        <v>15.0</v>
      </c>
      <c r="M21" s="9">
        <f t="shared" ref="M21:Q21" si="21">C21+H21</f>
        <v>1</v>
      </c>
      <c r="N21" s="9">
        <f t="shared" si="21"/>
        <v>1</v>
      </c>
      <c r="O21" s="9">
        <f t="shared" si="21"/>
        <v>0</v>
      </c>
      <c r="P21" s="9">
        <f t="shared" si="21"/>
        <v>2</v>
      </c>
      <c r="Q21" s="9">
        <f t="shared" si="21"/>
        <v>34</v>
      </c>
      <c r="R21" s="9">
        <f t="shared" si="3"/>
        <v>1</v>
      </c>
    </row>
    <row r="22">
      <c r="A22" s="5">
        <v>99.0</v>
      </c>
      <c r="B22" s="6" t="s">
        <v>39</v>
      </c>
      <c r="C22" s="7">
        <v>0.0</v>
      </c>
      <c r="D22" s="7">
        <v>1.0</v>
      </c>
      <c r="E22" s="7">
        <v>0.0</v>
      </c>
      <c r="F22" s="7">
        <v>0.0</v>
      </c>
      <c r="G22" s="7">
        <v>7.0</v>
      </c>
      <c r="H22" s="8">
        <v>0.0</v>
      </c>
      <c r="I22" s="8">
        <v>0.0</v>
      </c>
      <c r="J22" s="8">
        <v>0.0</v>
      </c>
      <c r="K22" s="8">
        <v>0.0</v>
      </c>
      <c r="L22" s="8">
        <v>12.0</v>
      </c>
      <c r="M22" s="9">
        <f t="shared" ref="M22:Q22" si="22">C22+H22</f>
        <v>0</v>
      </c>
      <c r="N22" s="9">
        <f t="shared" si="22"/>
        <v>1</v>
      </c>
      <c r="O22" s="9">
        <f t="shared" si="22"/>
        <v>0</v>
      </c>
      <c r="P22" s="9">
        <f t="shared" si="22"/>
        <v>0</v>
      </c>
      <c r="Q22" s="9">
        <f t="shared" si="22"/>
        <v>19</v>
      </c>
      <c r="R22" s="9">
        <f t="shared" si="3"/>
        <v>1</v>
      </c>
    </row>
    <row r="23">
      <c r="A23" s="5">
        <v>10.0</v>
      </c>
      <c r="B23" s="6" t="s">
        <v>40</v>
      </c>
      <c r="C23" s="7">
        <v>0.0</v>
      </c>
      <c r="D23" s="7">
        <v>0.0</v>
      </c>
      <c r="E23" s="7">
        <v>0.0</v>
      </c>
      <c r="F23" s="7">
        <v>0.0</v>
      </c>
      <c r="G23" s="7">
        <v>6.0</v>
      </c>
      <c r="H23" s="8">
        <v>0.0</v>
      </c>
      <c r="I23" s="8">
        <v>0.0</v>
      </c>
      <c r="J23" s="8">
        <v>0.0</v>
      </c>
      <c r="K23" s="8">
        <v>1.0</v>
      </c>
      <c r="L23" s="8">
        <v>7.0</v>
      </c>
      <c r="M23" s="9">
        <f t="shared" ref="M23:Q23" si="23">C23+H23</f>
        <v>0</v>
      </c>
      <c r="N23" s="9">
        <f t="shared" si="23"/>
        <v>0</v>
      </c>
      <c r="O23" s="9">
        <f t="shared" si="23"/>
        <v>0</v>
      </c>
      <c r="P23" s="9">
        <f t="shared" si="23"/>
        <v>1</v>
      </c>
      <c r="Q23" s="9">
        <f t="shared" si="23"/>
        <v>13</v>
      </c>
      <c r="R23" s="9">
        <f t="shared" si="3"/>
        <v>-0.5</v>
      </c>
    </row>
    <row r="24">
      <c r="A24" s="5">
        <v>17.0</v>
      </c>
      <c r="B24" s="6" t="s">
        <v>41</v>
      </c>
      <c r="C24" s="7">
        <v>0.0</v>
      </c>
      <c r="D24" s="7">
        <v>0.0</v>
      </c>
      <c r="E24" s="7">
        <v>0.0</v>
      </c>
      <c r="F24" s="7">
        <v>2.0</v>
      </c>
      <c r="G24" s="7">
        <v>13.0</v>
      </c>
      <c r="H24" s="8">
        <v>0.0</v>
      </c>
      <c r="I24" s="8">
        <v>0.0</v>
      </c>
      <c r="J24" s="8">
        <v>0.0</v>
      </c>
      <c r="K24" s="8">
        <v>0.0</v>
      </c>
      <c r="L24" s="8">
        <v>14.0</v>
      </c>
      <c r="M24" s="9">
        <f t="shared" ref="M24:Q24" si="24">C24+H24</f>
        <v>0</v>
      </c>
      <c r="N24" s="9">
        <f t="shared" si="24"/>
        <v>0</v>
      </c>
      <c r="O24" s="9">
        <f t="shared" si="24"/>
        <v>0</v>
      </c>
      <c r="P24" s="9">
        <f t="shared" si="24"/>
        <v>2</v>
      </c>
      <c r="Q24" s="9">
        <f t="shared" si="24"/>
        <v>27</v>
      </c>
      <c r="R24" s="9">
        <f t="shared" si="3"/>
        <v>-1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</cols>
  <sheetData>
    <row r="1">
      <c r="A1" s="11" t="s">
        <v>0</v>
      </c>
      <c r="B1" s="1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0" t="s">
        <v>42</v>
      </c>
      <c r="B2" s="6" t="s">
        <v>43</v>
      </c>
      <c r="C2" s="7">
        <v>1.0</v>
      </c>
      <c r="D2" s="7">
        <v>0.0</v>
      </c>
      <c r="E2" s="7">
        <v>1.0</v>
      </c>
      <c r="F2" s="7">
        <v>0.0</v>
      </c>
      <c r="G2" s="7">
        <v>21.0</v>
      </c>
    </row>
    <row r="3">
      <c r="A3" s="5">
        <v>3.0</v>
      </c>
      <c r="B3" s="6" t="s">
        <v>44</v>
      </c>
      <c r="C3" s="7">
        <v>0.0</v>
      </c>
      <c r="D3" s="7">
        <v>1.0</v>
      </c>
      <c r="E3" s="7">
        <v>1.0</v>
      </c>
      <c r="F3" s="7">
        <v>1.0</v>
      </c>
      <c r="G3" s="7">
        <v>13.0</v>
      </c>
    </row>
    <row r="4">
      <c r="A4" s="5">
        <v>6.0</v>
      </c>
      <c r="B4" s="6" t="s">
        <v>45</v>
      </c>
      <c r="C4" s="7">
        <v>2.0</v>
      </c>
      <c r="D4" s="7">
        <v>1.0</v>
      </c>
      <c r="E4" s="7">
        <v>0.0</v>
      </c>
      <c r="F4" s="7">
        <v>0.0</v>
      </c>
      <c r="G4" s="7">
        <v>20.0</v>
      </c>
    </row>
    <row r="5">
      <c r="A5" s="5">
        <v>9.0</v>
      </c>
      <c r="B5" s="6" t="s">
        <v>46</v>
      </c>
      <c r="C5" s="7">
        <v>0.0</v>
      </c>
      <c r="D5" s="7">
        <v>1.0</v>
      </c>
      <c r="E5" s="7">
        <v>0.0</v>
      </c>
      <c r="F5" s="7">
        <v>1.0</v>
      </c>
      <c r="G5" s="7">
        <v>10.0</v>
      </c>
    </row>
    <row r="6">
      <c r="A6" s="5">
        <v>12.0</v>
      </c>
      <c r="B6" s="6" t="s">
        <v>47</v>
      </c>
      <c r="C6" s="7">
        <v>0.0</v>
      </c>
      <c r="D6" s="7">
        <v>0.0</v>
      </c>
      <c r="E6" s="7">
        <v>0.0</v>
      </c>
      <c r="F6" s="7">
        <v>0.0</v>
      </c>
      <c r="G6" s="7">
        <v>0.0</v>
      </c>
    </row>
    <row r="7">
      <c r="A7" s="5">
        <v>14.0</v>
      </c>
      <c r="B7" s="6" t="s">
        <v>48</v>
      </c>
      <c r="C7" s="7">
        <v>0.0</v>
      </c>
      <c r="D7" s="7">
        <v>0.0</v>
      </c>
      <c r="E7" s="7">
        <v>0.0</v>
      </c>
      <c r="F7" s="7">
        <v>1.0</v>
      </c>
      <c r="G7" s="7">
        <v>14.0</v>
      </c>
    </row>
    <row r="8">
      <c r="A8" s="5">
        <v>15.0</v>
      </c>
      <c r="B8" s="6" t="s">
        <v>49</v>
      </c>
      <c r="C8" s="7">
        <v>0.0</v>
      </c>
      <c r="D8" s="7">
        <v>0.0</v>
      </c>
      <c r="E8" s="7">
        <v>0.0</v>
      </c>
      <c r="F8" s="7">
        <v>0.0</v>
      </c>
      <c r="G8" s="7">
        <v>9.0</v>
      </c>
    </row>
    <row r="9">
      <c r="A9" s="5">
        <v>17.0</v>
      </c>
      <c r="B9" s="6" t="s">
        <v>50</v>
      </c>
      <c r="C9" s="7">
        <v>2.0</v>
      </c>
      <c r="D9" s="7">
        <v>0.0</v>
      </c>
      <c r="E9" s="7">
        <v>1.0</v>
      </c>
      <c r="F9" s="7">
        <v>1.0</v>
      </c>
      <c r="G9" s="7">
        <v>15.0</v>
      </c>
    </row>
    <row r="10">
      <c r="A10" s="5">
        <v>18.0</v>
      </c>
      <c r="B10" s="6" t="s">
        <v>51</v>
      </c>
      <c r="C10" s="7">
        <v>0.0</v>
      </c>
      <c r="D10" s="7">
        <v>0.0</v>
      </c>
      <c r="E10" s="7">
        <v>0.0</v>
      </c>
      <c r="F10" s="7">
        <v>0.0</v>
      </c>
      <c r="G10" s="7">
        <v>10.0</v>
      </c>
    </row>
    <row r="11">
      <c r="A11" s="5">
        <v>19.0</v>
      </c>
      <c r="B11" s="6" t="s">
        <v>52</v>
      </c>
      <c r="C11" s="7">
        <v>0.0</v>
      </c>
      <c r="D11" s="7">
        <v>0.0</v>
      </c>
      <c r="E11" s="7">
        <v>0.0</v>
      </c>
      <c r="F11" s="7">
        <v>0.0</v>
      </c>
      <c r="G11" s="7">
        <v>0.0</v>
      </c>
    </row>
    <row r="12">
      <c r="A12" s="5">
        <v>21.0</v>
      </c>
      <c r="B12" s="6" t="s">
        <v>53</v>
      </c>
      <c r="C12" s="7">
        <v>3.0</v>
      </c>
      <c r="D12" s="7">
        <v>1.0</v>
      </c>
      <c r="E12" s="7">
        <v>0.0</v>
      </c>
      <c r="F12" s="7">
        <v>0.0</v>
      </c>
      <c r="G12" s="7">
        <v>12.0</v>
      </c>
    </row>
    <row r="13">
      <c r="A13" s="5">
        <v>22.0</v>
      </c>
      <c r="B13" s="6" t="s">
        <v>54</v>
      </c>
      <c r="C13" s="7">
        <v>0.0</v>
      </c>
      <c r="D13" s="7">
        <v>1.0</v>
      </c>
      <c r="E13" s="7">
        <v>1.0</v>
      </c>
      <c r="F13" s="7">
        <v>1.0</v>
      </c>
      <c r="G13" s="7">
        <v>20.0</v>
      </c>
    </row>
    <row r="14">
      <c r="A14" s="5">
        <v>24.0</v>
      </c>
      <c r="B14" s="6" t="s">
        <v>55</v>
      </c>
      <c r="C14" s="7">
        <v>1.0</v>
      </c>
      <c r="D14" s="7">
        <v>0.0</v>
      </c>
      <c r="E14" s="7">
        <v>0.0</v>
      </c>
      <c r="F14" s="7">
        <v>0.0</v>
      </c>
      <c r="G14" s="7">
        <v>21.0</v>
      </c>
    </row>
    <row r="15">
      <c r="A15" s="5">
        <v>25.0</v>
      </c>
      <c r="B15" s="6" t="s">
        <v>56</v>
      </c>
      <c r="C15" s="7">
        <v>1.0</v>
      </c>
      <c r="D15" s="7">
        <v>0.0</v>
      </c>
      <c r="E15" s="7">
        <v>0.0</v>
      </c>
      <c r="F15" s="7">
        <v>0.0</v>
      </c>
      <c r="G15" s="7">
        <v>18.0</v>
      </c>
    </row>
    <row r="16">
      <c r="A16" s="5">
        <v>27.0</v>
      </c>
      <c r="B16" s="6" t="s">
        <v>57</v>
      </c>
      <c r="C16" s="7">
        <v>0.0</v>
      </c>
      <c r="D16" s="7">
        <v>0.0</v>
      </c>
      <c r="E16" s="7">
        <v>0.0</v>
      </c>
      <c r="F16" s="7">
        <v>0.0</v>
      </c>
      <c r="G16" s="7">
        <v>0.0</v>
      </c>
    </row>
    <row r="17">
      <c r="A17" s="5">
        <v>28.0</v>
      </c>
      <c r="B17" s="6" t="s">
        <v>58</v>
      </c>
      <c r="C17" s="7">
        <v>3.0</v>
      </c>
      <c r="D17" s="7">
        <v>4.0</v>
      </c>
      <c r="E17" s="7">
        <v>0.0</v>
      </c>
      <c r="F17" s="7">
        <v>3.0</v>
      </c>
      <c r="G17" s="7">
        <v>18.0</v>
      </c>
    </row>
    <row r="18">
      <c r="A18" s="5">
        <v>32.0</v>
      </c>
      <c r="B18" s="6" t="s">
        <v>59</v>
      </c>
      <c r="C18" s="7">
        <v>0.0</v>
      </c>
      <c r="D18" s="7">
        <v>0.0</v>
      </c>
      <c r="E18" s="7">
        <v>0.0</v>
      </c>
      <c r="F18" s="7">
        <v>0.0</v>
      </c>
      <c r="G18" s="7">
        <v>0.0</v>
      </c>
    </row>
    <row r="19">
      <c r="A19" s="5">
        <v>34.0</v>
      </c>
      <c r="B19" s="6" t="s">
        <v>60</v>
      </c>
      <c r="C19" s="7">
        <v>1.0</v>
      </c>
      <c r="D19" s="7">
        <v>3.0</v>
      </c>
      <c r="E19" s="7">
        <v>1.0</v>
      </c>
      <c r="F19" s="7">
        <v>2.0</v>
      </c>
      <c r="G19" s="7">
        <v>25.0</v>
      </c>
    </row>
    <row r="20">
      <c r="A20" s="5">
        <v>43.0</v>
      </c>
      <c r="B20" s="6" t="s">
        <v>61</v>
      </c>
      <c r="C20" s="7">
        <v>0.0</v>
      </c>
      <c r="D20" s="7">
        <v>0.0</v>
      </c>
      <c r="E20" s="7">
        <v>0.0</v>
      </c>
      <c r="F20" s="7">
        <v>0.0</v>
      </c>
      <c r="G20" s="7">
        <v>3.0</v>
      </c>
    </row>
    <row r="21">
      <c r="A21" s="5">
        <v>45.0</v>
      </c>
      <c r="B21" s="6" t="s">
        <v>62</v>
      </c>
      <c r="C21" s="7">
        <v>0.0</v>
      </c>
      <c r="D21" s="7">
        <v>2.0</v>
      </c>
      <c r="E21" s="7">
        <v>0.0</v>
      </c>
      <c r="F21" s="7">
        <v>2.0</v>
      </c>
      <c r="G21" s="7">
        <v>20.0</v>
      </c>
    </row>
    <row r="22">
      <c r="A22" s="5">
        <v>48.0</v>
      </c>
      <c r="B22" s="6" t="s">
        <v>63</v>
      </c>
      <c r="C22" s="7">
        <v>0.0</v>
      </c>
      <c r="D22" s="7">
        <v>0.0</v>
      </c>
      <c r="E22" s="7">
        <v>0.0</v>
      </c>
      <c r="F22" s="7">
        <v>0.0</v>
      </c>
      <c r="G22" s="7">
        <v>3.0</v>
      </c>
    </row>
    <row r="23">
      <c r="A23" s="5">
        <v>59.0</v>
      </c>
      <c r="B23" s="6" t="s">
        <v>64</v>
      </c>
      <c r="C23" s="7">
        <v>3.0</v>
      </c>
      <c r="D23" s="7">
        <v>3.0</v>
      </c>
      <c r="E23" s="7">
        <v>1.0</v>
      </c>
      <c r="F23" s="7">
        <v>4.0</v>
      </c>
      <c r="G23" s="7">
        <v>21.0</v>
      </c>
    </row>
    <row r="24">
      <c r="A24" s="5">
        <v>88.0</v>
      </c>
      <c r="B24" s="6" t="s">
        <v>65</v>
      </c>
      <c r="C24" s="7">
        <v>0.0</v>
      </c>
      <c r="D24" s="7">
        <v>0.0</v>
      </c>
      <c r="E24" s="7">
        <v>2.0</v>
      </c>
      <c r="F24" s="7">
        <v>1.0</v>
      </c>
      <c r="G24" s="7">
        <v>11.0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66</v>
      </c>
      <c r="B1" s="3" t="s">
        <v>67</v>
      </c>
      <c r="C1" s="2" t="s">
        <v>68</v>
      </c>
      <c r="D1" s="2" t="s">
        <v>69</v>
      </c>
    </row>
    <row r="2">
      <c r="A2" s="10" t="s">
        <v>32</v>
      </c>
      <c r="B2" s="13" t="s">
        <v>70</v>
      </c>
      <c r="C2" s="7" t="s">
        <v>71</v>
      </c>
      <c r="D2" s="7" t="b">
        <v>1</v>
      </c>
    </row>
    <row r="3">
      <c r="A3" s="5">
        <v>2.0</v>
      </c>
      <c r="B3" s="13" t="s">
        <v>71</v>
      </c>
      <c r="C3" s="7" t="s">
        <v>70</v>
      </c>
      <c r="D3" s="7" t="b">
        <v>1</v>
      </c>
    </row>
    <row r="4">
      <c r="A4" s="10" t="s">
        <v>72</v>
      </c>
      <c r="B4" s="13" t="s">
        <v>70</v>
      </c>
      <c r="C4" s="7" t="s">
        <v>71</v>
      </c>
      <c r="D4" s="7" t="b">
        <v>1</v>
      </c>
    </row>
    <row r="5">
      <c r="A5" s="10" t="s">
        <v>73</v>
      </c>
      <c r="B5" s="13" t="s">
        <v>71</v>
      </c>
      <c r="C5" s="7" t="s">
        <v>71</v>
      </c>
      <c r="D5" s="7" t="b">
        <v>0</v>
      </c>
    </row>
    <row r="6">
      <c r="A6" s="5">
        <v>5.0</v>
      </c>
      <c r="B6" s="13" t="s">
        <v>71</v>
      </c>
      <c r="C6" s="7" t="s">
        <v>70</v>
      </c>
      <c r="D6" s="7" t="b">
        <v>1</v>
      </c>
    </row>
    <row r="7">
      <c r="A7" s="10" t="s">
        <v>74</v>
      </c>
      <c r="B7" s="13" t="s">
        <v>70</v>
      </c>
      <c r="C7" s="7" t="s">
        <v>71</v>
      </c>
      <c r="D7" s="7" t="b">
        <v>1</v>
      </c>
    </row>
    <row r="8">
      <c r="A8" s="10" t="s">
        <v>75</v>
      </c>
      <c r="B8" s="13" t="s">
        <v>71</v>
      </c>
      <c r="C8" s="7" t="s">
        <v>70</v>
      </c>
      <c r="D8" s="7" t="b">
        <v>0</v>
      </c>
    </row>
    <row r="9">
      <c r="A9" s="10" t="s">
        <v>76</v>
      </c>
      <c r="B9" s="13" t="s">
        <v>70</v>
      </c>
      <c r="C9" s="7" t="s">
        <v>71</v>
      </c>
      <c r="D9" s="7" t="b">
        <v>0</v>
      </c>
    </row>
    <row r="10">
      <c r="A10" s="5">
        <v>9.0</v>
      </c>
      <c r="B10" s="13" t="s">
        <v>71</v>
      </c>
      <c r="C10" s="7" t="s">
        <v>70</v>
      </c>
      <c r="D10" s="7" t="b">
        <v>0</v>
      </c>
    </row>
    <row r="11">
      <c r="A11" s="10" t="s">
        <v>77</v>
      </c>
      <c r="B11" s="13" t="s">
        <v>70</v>
      </c>
      <c r="C11" s="14"/>
      <c r="D11" s="14"/>
    </row>
    <row r="12">
      <c r="A12" s="10" t="s">
        <v>78</v>
      </c>
      <c r="B12" s="13" t="s">
        <v>71</v>
      </c>
      <c r="C12" s="7" t="s">
        <v>70</v>
      </c>
      <c r="D12" s="7" t="b">
        <v>1</v>
      </c>
    </row>
    <row r="13">
      <c r="A13" s="5">
        <v>12.0</v>
      </c>
      <c r="B13" s="13" t="s">
        <v>70</v>
      </c>
      <c r="C13" s="7" t="s">
        <v>71</v>
      </c>
      <c r="D13" s="7" t="b">
        <v>0</v>
      </c>
    </row>
    <row r="14">
      <c r="A14" s="10" t="s">
        <v>79</v>
      </c>
      <c r="B14" s="13" t="s">
        <v>71</v>
      </c>
      <c r="C14" s="7" t="s">
        <v>71</v>
      </c>
      <c r="D14" s="7" t="b">
        <v>1</v>
      </c>
    </row>
    <row r="15">
      <c r="A15" s="10" t="s">
        <v>80</v>
      </c>
      <c r="B15" s="13" t="s">
        <v>71</v>
      </c>
      <c r="C15" s="7" t="s">
        <v>71</v>
      </c>
      <c r="D15" s="7" t="b">
        <v>1</v>
      </c>
    </row>
    <row r="16">
      <c r="A16" s="10" t="s">
        <v>81</v>
      </c>
      <c r="B16" s="13" t="s">
        <v>71</v>
      </c>
      <c r="C16" s="7" t="s">
        <v>71</v>
      </c>
      <c r="D16" s="7" t="b">
        <v>0</v>
      </c>
    </row>
    <row r="17">
      <c r="A17" s="5">
        <v>16.0</v>
      </c>
      <c r="B17" s="13" t="s">
        <v>71</v>
      </c>
      <c r="C17" s="7" t="s">
        <v>70</v>
      </c>
      <c r="D17" s="7" t="b">
        <v>1</v>
      </c>
    </row>
    <row r="18">
      <c r="A18" s="10" t="s">
        <v>82</v>
      </c>
      <c r="B18" s="13" t="s">
        <v>70</v>
      </c>
      <c r="C18" s="7" t="s">
        <v>70</v>
      </c>
      <c r="D18" s="7" t="b">
        <v>1</v>
      </c>
    </row>
    <row r="19">
      <c r="A19" s="10" t="s">
        <v>83</v>
      </c>
      <c r="B19" s="13" t="s">
        <v>70</v>
      </c>
      <c r="C19" s="7" t="s">
        <v>71</v>
      </c>
      <c r="D19" s="7" t="b">
        <v>1</v>
      </c>
    </row>
    <row r="20">
      <c r="A20" s="10" t="s">
        <v>84</v>
      </c>
      <c r="B20" s="13" t="s">
        <v>71</v>
      </c>
      <c r="C20" s="7" t="s">
        <v>71</v>
      </c>
      <c r="D20" s="7" t="b">
        <v>1</v>
      </c>
    </row>
    <row r="21">
      <c r="A21" s="5">
        <v>20.0</v>
      </c>
      <c r="B21" s="13" t="s">
        <v>70</v>
      </c>
      <c r="C21" s="7" t="s">
        <v>71</v>
      </c>
      <c r="D21" s="7" t="b">
        <v>0</v>
      </c>
    </row>
    <row r="22">
      <c r="A22" s="10" t="s">
        <v>85</v>
      </c>
      <c r="B22" s="13" t="s">
        <v>71</v>
      </c>
      <c r="C22" s="7" t="s">
        <v>70</v>
      </c>
      <c r="D22" s="7" t="b">
        <v>0</v>
      </c>
    </row>
    <row r="23">
      <c r="A23" s="5">
        <v>22.0</v>
      </c>
      <c r="B23" s="13" t="s">
        <v>70</v>
      </c>
      <c r="C23" s="7" t="s">
        <v>71</v>
      </c>
      <c r="D23" s="7" t="b">
        <v>1</v>
      </c>
    </row>
    <row r="24">
      <c r="A24" s="10" t="s">
        <v>86</v>
      </c>
      <c r="B24" s="13" t="s">
        <v>71</v>
      </c>
      <c r="C24" s="7" t="s">
        <v>70</v>
      </c>
      <c r="D24" s="7" t="b">
        <v>1</v>
      </c>
    </row>
    <row r="25">
      <c r="A25" s="10" t="s">
        <v>87</v>
      </c>
      <c r="B25" s="13" t="s">
        <v>70</v>
      </c>
      <c r="C25" s="7" t="s">
        <v>71</v>
      </c>
      <c r="D25" s="7" t="b">
        <v>1</v>
      </c>
    </row>
    <row r="26">
      <c r="A26" s="5">
        <v>25.0</v>
      </c>
      <c r="B26" s="13" t="s">
        <v>71</v>
      </c>
      <c r="C26" s="7" t="s">
        <v>70</v>
      </c>
      <c r="D26" s="7" t="b">
        <v>1</v>
      </c>
    </row>
    <row r="27">
      <c r="A27" s="10" t="s">
        <v>88</v>
      </c>
      <c r="B27" s="13" t="s">
        <v>70</v>
      </c>
      <c r="C27" s="7" t="s">
        <v>71</v>
      </c>
      <c r="D27" s="7" t="b">
        <v>1</v>
      </c>
    </row>
    <row r="28">
      <c r="A28" s="10" t="s">
        <v>89</v>
      </c>
      <c r="B28" s="13" t="s">
        <v>71</v>
      </c>
      <c r="C28" s="7" t="s">
        <v>70</v>
      </c>
      <c r="D28" s="7" t="b">
        <v>1</v>
      </c>
    </row>
    <row r="29">
      <c r="A29" s="10" t="s">
        <v>90</v>
      </c>
      <c r="B29" s="13" t="s">
        <v>70</v>
      </c>
      <c r="C29" s="7" t="s">
        <v>70</v>
      </c>
      <c r="D29" s="7" t="b">
        <v>1</v>
      </c>
    </row>
    <row r="30">
      <c r="A30" s="5">
        <v>29.0</v>
      </c>
      <c r="B30" s="13" t="s">
        <v>70</v>
      </c>
      <c r="C30" s="7" t="s">
        <v>71</v>
      </c>
      <c r="D30" s="7" t="b">
        <v>1</v>
      </c>
    </row>
    <row r="31">
      <c r="A31" s="10" t="s">
        <v>91</v>
      </c>
      <c r="B31" s="13" t="s">
        <v>71</v>
      </c>
      <c r="C31" s="7" t="s">
        <v>70</v>
      </c>
      <c r="D31" s="7" t="b">
        <v>1</v>
      </c>
    </row>
    <row r="32">
      <c r="A32" s="10" t="s">
        <v>92</v>
      </c>
      <c r="B32" s="13" t="s">
        <v>70</v>
      </c>
      <c r="C32" s="14"/>
      <c r="D32" s="14"/>
    </row>
    <row r="33">
      <c r="A33" s="10" t="s">
        <v>93</v>
      </c>
      <c r="B33" s="13" t="s">
        <v>71</v>
      </c>
      <c r="C33" s="7" t="s">
        <v>70</v>
      </c>
      <c r="D33" s="7" t="b">
        <v>1</v>
      </c>
    </row>
    <row r="34">
      <c r="A34" s="5">
        <v>33.0</v>
      </c>
      <c r="B34" s="13" t="s">
        <v>70</v>
      </c>
      <c r="C34" s="7" t="s">
        <v>70</v>
      </c>
      <c r="D34" s="7" t="b">
        <v>1</v>
      </c>
    </row>
    <row r="35">
      <c r="A35" s="10" t="s">
        <v>94</v>
      </c>
      <c r="B35" s="13" t="s">
        <v>70</v>
      </c>
      <c r="C35" s="7" t="s">
        <v>70</v>
      </c>
      <c r="D35" s="7" t="b">
        <v>1</v>
      </c>
    </row>
    <row r="36">
      <c r="A36" s="10" t="s">
        <v>95</v>
      </c>
      <c r="B36" s="13" t="s">
        <v>70</v>
      </c>
      <c r="C36" s="7" t="s">
        <v>71</v>
      </c>
      <c r="D36" s="7" t="b">
        <v>1</v>
      </c>
    </row>
    <row r="37">
      <c r="A37" s="5">
        <v>36.0</v>
      </c>
      <c r="B37" s="13" t="s">
        <v>71</v>
      </c>
      <c r="C37" s="7" t="s">
        <v>71</v>
      </c>
      <c r="D37" s="7" t="b">
        <v>1</v>
      </c>
    </row>
    <row r="38">
      <c r="A38" s="10" t="s">
        <v>96</v>
      </c>
      <c r="B38" s="13" t="s">
        <v>71</v>
      </c>
      <c r="C38" s="7" t="s">
        <v>70</v>
      </c>
      <c r="D38" s="7" t="b">
        <v>1</v>
      </c>
    </row>
    <row r="39">
      <c r="A39" s="5">
        <v>38.0</v>
      </c>
      <c r="B39" s="13" t="s">
        <v>70</v>
      </c>
      <c r="C39" s="14"/>
      <c r="D39" s="14"/>
    </row>
    <row r="40">
      <c r="A40" s="5">
        <v>39.0</v>
      </c>
      <c r="B40" s="15"/>
      <c r="C40" s="14"/>
      <c r="D40" s="14"/>
    </row>
    <row r="41">
      <c r="A41" s="10" t="s">
        <v>97</v>
      </c>
      <c r="B41" s="15"/>
      <c r="C41" s="14"/>
      <c r="D41" s="14"/>
    </row>
    <row r="42">
      <c r="A42" s="5">
        <v>41.0</v>
      </c>
      <c r="B42" s="15"/>
      <c r="C42" s="14"/>
      <c r="D42" s="14"/>
    </row>
    <row r="43">
      <c r="A43" s="5">
        <v>42.0</v>
      </c>
      <c r="B43" s="15"/>
      <c r="C43" s="14"/>
      <c r="D43" s="14"/>
    </row>
    <row r="44">
      <c r="A44" s="10" t="s">
        <v>98</v>
      </c>
      <c r="B44" s="15"/>
      <c r="C44" s="14"/>
      <c r="D44" s="14"/>
    </row>
    <row r="45">
      <c r="A45" s="5">
        <v>44.0</v>
      </c>
      <c r="B45" s="15"/>
      <c r="C45" s="14"/>
      <c r="D45" s="14"/>
    </row>
    <row r="46">
      <c r="A46" s="10" t="s">
        <v>99</v>
      </c>
      <c r="B46" s="15"/>
      <c r="C46" s="14"/>
      <c r="D46" s="14"/>
    </row>
    <row r="47">
      <c r="A47" s="5">
        <v>46.0</v>
      </c>
      <c r="B47" s="15"/>
      <c r="C47" s="14"/>
      <c r="D47" s="14"/>
    </row>
    <row r="48">
      <c r="A48" s="10" t="s">
        <v>100</v>
      </c>
      <c r="B48" s="15"/>
      <c r="C48" s="14"/>
      <c r="D48" s="14"/>
    </row>
    <row r="49">
      <c r="A49" s="5">
        <v>48.0</v>
      </c>
      <c r="B49" s="15"/>
      <c r="C49" s="14"/>
      <c r="D49" s="14"/>
    </row>
    <row r="50">
      <c r="A50" s="10" t="s">
        <v>101</v>
      </c>
      <c r="B50" s="15"/>
      <c r="C50" s="14"/>
      <c r="D50" s="14"/>
    </row>
    <row r="51">
      <c r="A51" s="5">
        <v>50.0</v>
      </c>
      <c r="B51" s="15"/>
      <c r="C51" s="14"/>
      <c r="D51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102</v>
      </c>
      <c r="B1" s="3" t="s">
        <v>71</v>
      </c>
      <c r="C1" s="2" t="s">
        <v>70</v>
      </c>
    </row>
    <row r="2">
      <c r="A2" s="10" t="s">
        <v>103</v>
      </c>
      <c r="B2" s="5">
        <f>countif(Points!$C1:$C51, B$1)</f>
        <v>18</v>
      </c>
      <c r="C2" s="16">
        <f>countif(Points!$C1:$C51, C$1)</f>
        <v>17</v>
      </c>
    </row>
    <row r="3">
      <c r="A3" s="5" t="s">
        <v>104</v>
      </c>
      <c r="B3" s="5">
        <f>countifs(Points!C1:C51, B$1, Points!B1:B51, C$1)</f>
        <v>12</v>
      </c>
      <c r="C3" s="16">
        <f>countifs(Points!C1:C51, C$1, Points!B1:B51, B$1)</f>
        <v>13</v>
      </c>
    </row>
    <row r="4">
      <c r="A4" s="10" t="s">
        <v>105</v>
      </c>
      <c r="B4" s="5">
        <f>countifs(Points!$C1:$C51, B$1, Points!$B1:$B51, B$1)</f>
        <v>6</v>
      </c>
      <c r="C4" s="16">
        <f>countifs(Points!$C1:$C51, C$1, Points!$B1:$B51, C$1)</f>
        <v>4</v>
      </c>
    </row>
    <row r="5">
      <c r="A5" s="10" t="s">
        <v>106</v>
      </c>
      <c r="B5" s="5">
        <f>countifs(Points!C1:C51, B$1, Points!B1:B51, C$1, Points!D1:D51,"TRUE")</f>
        <v>9</v>
      </c>
      <c r="C5" s="16">
        <f>countifs(Points!C1:C51, C$1, Points!B1:B51, B$1, Points!D1:D51,"TRUE")</f>
        <v>10</v>
      </c>
    </row>
  </sheetData>
  <drawing r:id="rId1"/>
</worksheet>
</file>